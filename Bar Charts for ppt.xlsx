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.sharepoint.com/sites/ProjectManagement2026-CE/Shared Documents/General/Provided Data/Data Analysis/"/>
    </mc:Choice>
  </mc:AlternateContent>
  <xr:revisionPtr revIDLastSave="126" documentId="8_{F7079509-7F89-4B1F-A474-FAD18052C559}" xr6:coauthVersionLast="47" xr6:coauthVersionMax="47" xr10:uidLastSave="{BA587399-0722-4DDD-AD03-DB441D96D9A3}"/>
  <bookViews>
    <workbookView minimized="1" xWindow="4240" yWindow="4280" windowWidth="19200" windowHeight="11180" xr2:uid="{3449709D-A89B-448E-AB81-287460E0A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6" i="1"/>
  <c r="C5" i="1"/>
  <c r="C4" i="1"/>
  <c r="C2" i="1"/>
  <c r="B11" i="1"/>
</calcChain>
</file>

<file path=xl/sharedStrings.xml><?xml version="1.0" encoding="utf-8"?>
<sst xmlns="http://schemas.openxmlformats.org/spreadsheetml/2006/main" count="13" uniqueCount="11">
  <si>
    <t>Parameter</t>
  </si>
  <si>
    <t>Value</t>
  </si>
  <si>
    <t xml:space="preserve">Total Curtailed </t>
  </si>
  <si>
    <t>Total Hours</t>
  </si>
  <si>
    <t>Curtailment Hours</t>
  </si>
  <si>
    <t>Storm Shutdown Hours</t>
  </si>
  <si>
    <t>GWh</t>
  </si>
  <si>
    <t xml:space="preserve">Potential </t>
  </si>
  <si>
    <t xml:space="preserve">Turbine </t>
  </si>
  <si>
    <t xml:space="preserve">Exported 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</si>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</sst>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&quot;£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164" fontId="0" fillId="0" borderId="0" xfId="0" applyNumberFormat="1"/>
    <xf numFmtId="1" fontId="0" fillId="0" borderId="0" xfId="1" applyNumberFormat="1" applyFont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GWh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Sheet1!$A$2:$A$6</c:f>
              <c:strCache>
                <c:ptCount val="5"/>
                <c:pt idx="0">
                  <c:v>Potential </c:v>
                </c:pt>
                <c:pt idx="1">
                  <c:v>Turbine </c:v>
                </c:pt>
                <c:pt idx="2">
                  <c:v>Exported </c:v>
                </c:pt>
                <c:pt idx="3">
                  <c:v>Demand</c:v>
                </c:pt>
                <c:pt idx="4">
                  <c:v>Total Curtailed 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650.78420800000004</c:v>
                </c:pt>
                <c:pt idx="1">
                  <c:v>333.525936</c:v>
                </c:pt>
                <c:pt idx="2">
                  <c:v>193.99902599999999</c:v>
                </c:pt>
                <c:pt idx="3">
                  <c:v>81.921691999999993</c:v>
                </c:pt>
                <c:pt idx="4">
                  <c:v>69.412114000000003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C-4C91-B031-1132B6000C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90"/>
        <c:axId val="1632551360"/>
        <c:axId val="1632554240"/>
      </c:barChart>
      <c:catAx>
        <c:axId val="163255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Annual Total 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554240"/>
        <c:crosses val="autoZero"/>
        <c:auto val="1"/>
        <c:lblAlgn val="ctr"/>
        <c:lblOffset val="100"/>
        <c:noMultiLvlLbl val="0"/>
      </c:catAx>
      <c:valAx>
        <c:axId val="163255424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Energy /GWh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3255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1742873649280338"/>
          <c:y val="0.18463536083683565"/>
          <c:w val="0.53047821794455541"/>
          <c:h val="0.763992767487672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Sheet1!$A$9:$A$11</c:f>
              <c:strCache>
                <c:ptCount val="3"/>
                <c:pt idx="0">
                  <c:v>Storm Shutdown Hours</c:v>
                </c:pt>
                <c:pt idx="1">
                  <c:v>Curtailment Hours</c:v>
                </c:pt>
                <c:pt idx="2">
                  <c:v>Total Hours</c:v>
                </c:pt>
              </c:strCache>
            </c:strRef>
          </c:cat>
          <c:val>
            <c:numRef>
              <c:f>Sheet1!$B$9:$B$11</c:f>
              <c:numCache>
                <c:formatCode>General</c:formatCode>
                <c:ptCount val="3"/>
                <c:pt idx="0">
                  <c:v>110.5</c:v>
                </c:pt>
                <c:pt idx="1">
                  <c:v>3243</c:v>
                </c:pt>
                <c:pt idx="2">
                  <c:v>8760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C-400A-B606-7E745B2F82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4"/>
        <c:axId val="712992335"/>
        <c:axId val="712992815"/>
      </c:barChart>
      <c:catAx>
        <c:axId val="71299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992815"/>
        <c:crosses val="autoZero"/>
        <c:auto val="1"/>
        <c:lblAlgn val="ctr"/>
        <c:lblOffset val="100"/>
        <c:noMultiLvlLbl val="0"/>
      </c:catAx>
      <c:valAx>
        <c:axId val="712992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299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200269</xdr:colOff>
      <xdr:row>3</xdr:row>
      <xdr:rowOff>149087</xdr:rowOff>
    </xdr:from>
    <xdr:to>
      <xdr:col>15</xdr:col>
      <xdr:colOff>110434</xdr:colOff>
      <xdr:row>21</xdr:row>
      <xdr:rowOff>151424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FDB946-B3C2-BEB8-5DB1-147CB9DB7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221272</xdr:colOff>
      <xdr:row>22</xdr:row>
      <xdr:rowOff>18073</xdr:rowOff>
    </xdr:from>
    <xdr:to>
      <xdr:col>12</xdr:col>
      <xdr:colOff>73268</xdr:colOff>
      <xdr:row>36</xdr:row>
      <xdr:rowOff>184638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A40D72-CEB1-DD2F-BBF5-B4598309D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B13210-237A-4D89-ACEF-3BF2E31EF5BD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1194-4416-4323-B2AD-609D2F779C84}">
  <dimension ref="A1:C11"/>
  <sheetViews>
    <sheetView tabSelected="1" zoomScale="87" zoomScaleNormal="145" workbookViewId="0">
      <selection activeCell="P34" sqref="P34"/>
    </sheetView>
  </sheetViews>
  <sheetFormatPr defaultRowHeight="14.5" x14ac:dyDescent="0.35"/>
  <cols>
    <col min="1" max="1" width="26" customWidth="1"/>
    <col min="2" max="2" width="14.7265625" customWidth="1"/>
  </cols>
  <sheetData>
    <row r="1" spans="1:3" x14ac:dyDescent="0.35">
      <c r="A1" s="4" t="s">
        <v>0</v>
      </c>
      <c r="B1" s="4" t="s">
        <v>1</v>
      </c>
      <c r="C1" t="s">
        <v>6</v>
      </c>
    </row>
    <row r="2" spans="1:3" x14ac:dyDescent="0.35">
      <c r="A2" s="4" t="s">
        <v>7</v>
      </c>
      <c r="B2" s="2">
        <v>650784208</v>
      </c>
      <c r="C2">
        <f>B2/1000000</f>
        <v>650.78420800000004</v>
      </c>
    </row>
    <row r="3" spans="1:3" x14ac:dyDescent="0.35">
      <c r="A3" s="4" t="s">
        <v>8</v>
      </c>
      <c r="B3" s="5">
        <v>333525936</v>
      </c>
      <c r="C3">
        <f>B3/1000000</f>
        <v>333.525936</v>
      </c>
    </row>
    <row r="4" spans="1:3" x14ac:dyDescent="0.35">
      <c r="A4" s="4" t="s">
        <v>9</v>
      </c>
      <c r="B4" s="3">
        <v>193999026</v>
      </c>
      <c r="C4">
        <f>B4/1000000</f>
        <v>193.99902599999999</v>
      </c>
    </row>
    <row r="5" spans="1:3" x14ac:dyDescent="0.35">
      <c r="A5" s="4" t="s">
        <v>10</v>
      </c>
      <c r="B5" s="5">
        <v>81921692</v>
      </c>
      <c r="C5">
        <f>B5/1000000</f>
        <v>81.921691999999993</v>
      </c>
    </row>
    <row r="6" spans="1:3" x14ac:dyDescent="0.35">
      <c r="A6" s="4" t="s">
        <v>2</v>
      </c>
      <c r="B6" s="5">
        <v>69412114</v>
      </c>
      <c r="C6">
        <f>B6/1000000</f>
        <v>69.412114000000003</v>
      </c>
    </row>
    <row r="7" spans="1:3" x14ac:dyDescent="0.35">
      <c r="B7" s="1"/>
    </row>
    <row r="8" spans="1:3" x14ac:dyDescent="0.35">
      <c r="A8" t="s">
        <v>0</v>
      </c>
      <c r="B8" t="s">
        <v>1</v>
      </c>
    </row>
    <row r="9" spans="1:3" x14ac:dyDescent="0.35">
      <c r="A9" t="s">
        <v>5</v>
      </c>
      <c r="B9">
        <v>110.5</v>
      </c>
    </row>
    <row r="10" spans="1:3" x14ac:dyDescent="0.35">
      <c r="A10" t="s">
        <v>4</v>
      </c>
      <c r="B10">
        <v>3243</v>
      </c>
    </row>
    <row r="11" spans="1:3" x14ac:dyDescent="0.35">
      <c r="A11" t="s">
        <v>3</v>
      </c>
      <c r="B11">
        <f>24*365</f>
        <v>8760</v>
      </c>
    </row>
  </sheetData>
  <sortState xmlns:xlrd2="http://schemas.microsoft.com/office/spreadsheetml/2017/richdata2" ref="A9:B11">
    <sortCondition ref="B11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F4FEA39FD21A4BA239287C5AE9796D" ma:contentTypeVersion="7" ma:contentTypeDescription="Create a new document." ma:contentTypeScope="" ma:versionID="92393bd27affc65150581710491b8882">
  <xsd:schema xmlns:xsd="http://www.w3.org/2001/XMLSchema" xmlns:xs="http://www.w3.org/2001/XMLSchema" xmlns:p="http://schemas.microsoft.com/office/2006/metadata/properties" xmlns:ns2="55cc3e99-69db-4733-80c7-6e99b9e88984" targetNamespace="http://schemas.microsoft.com/office/2006/metadata/properties" ma:root="true" ma:fieldsID="1c653048ca401d237dfd44674343b482" ns2:_="">
    <xsd:import namespace="55cc3e99-69db-4733-80c7-6e99b9e889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c3e99-69db-4733-80c7-6e99b9e889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9FBE2F-879F-4332-8825-7F11E9BD4E40}">
  <ds:schemaRefs>
    <ds:schemaRef ds:uri="55cc3e99-69db-4733-80c7-6e99b9e88984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A9EF7CD-BFF0-4B60-A059-4199BB0E63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97F04A-F522-475D-B5D1-0F5E1478F0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cc3e99-69db-4733-80c7-6e99b9e889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Ye, Mike</dc:creator>
  <cp:lastModifiedBy>Ye, Mike</cp:lastModifiedBy>
  <dcterms:created xsi:type="dcterms:W3CDTF">2026-03-02T12:02:41Z</dcterms:created>
  <dcterms:modified xsi:type="dcterms:W3CDTF">2026-03-13T12:41:10Z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0x010100F1F4FEA39FD21A4BA239287C5AE9796D</vt:lpwstr>
  </property>
</Properties>
</file>